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Quota Performance" sheetId="2" r:id="rId2"/>
    <sheet name="Product Margin" sheetId="3" r:id="rId3"/>
    <sheet name="Reconciliation" sheetId="4" r:id="rId4"/>
    <sheet name="Notes" sheetId="5" r:id="rId5"/>
  </sheets>
  <calcPr calcId="124519" fullCalcOnLoad="1"/>
</workbook>
</file>

<file path=xl/sharedStrings.xml><?xml version="1.0" encoding="utf-8"?>
<sst xmlns="http://schemas.openxmlformats.org/spreadsheetml/2006/main" count="200" uniqueCount="133">
  <si>
    <t>Quarterly Summary -- 2013Q3</t>
  </si>
  <si>
    <t>Reseller sales</t>
  </si>
  <si>
    <t>Gross margin %</t>
  </si>
  <si>
    <t>Quota attainment %</t>
  </si>
  <si>
    <t>Sales vs. same quarter last year</t>
  </si>
  <si>
    <t>Sales % change vs. last year</t>
  </si>
  <si>
    <t>period</t>
  </si>
  <si>
    <t>actual_sales</t>
  </si>
  <si>
    <t>quota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</si>
  <si>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</si>
  <si>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</si>
  <si>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</si>
  <si>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</si>
  <si>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</si>
  <si>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</si>
  <si>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</si>
  <si>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</si>
  <si>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</si>
  <si>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</si>
  <si>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</si>
  <si>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</si>
  <si>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</si>
  <si>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By salesperson</t>
  </si>
  <si>
    <t>employee_id</t>
  </si>
  <si>
    <t>employee_name</t>
  </si>
  <si>
    <t>territory</t>
  </si>
  <si>
    <t>variance</t>
  </si>
  <si>
    <t>attainment_pct</t>
  </si>
  <si>
    <t>Stephen Jiang</t>
  </si>
  <si>
    <t>NA</t>
  </si>
  <si>
    <t>Michael Blythe</t>
  </si>
  <si>
    <t>Northeast</t>
  </si>
  <si>
    <t>Linda Mitchell</t>
  </si>
  <si>
    <t>Southwest</t>
  </si>
  <si>
    <t>Jillian Carson</t>
  </si>
  <si>
    <t>Central</t>
  </si>
  <si>
    <t>Garrett Vargas</t>
  </si>
  <si>
    <t>Canada</t>
  </si>
  <si>
    <t>Tsvi Reiter</t>
  </si>
  <si>
    <t>Southeast</t>
  </si>
  <si>
    <t>Pamela Ansman-Wolfe</t>
  </si>
  <si>
    <t>Northwest</t>
  </si>
  <si>
    <t>Shu Ito</t>
  </si>
  <si>
    <t>José Saraiva</t>
  </si>
  <si>
    <t>David Campbell</t>
  </si>
  <si>
    <t>Amy Alberts</t>
  </si>
  <si>
    <t>Jae Pak</t>
  </si>
  <si>
    <t>United Kingdom</t>
  </si>
  <si>
    <t>Ranjit Varkey Chudukatil</t>
  </si>
  <si>
    <t>France</t>
  </si>
  <si>
    <t>Tete Mensa-Annan</t>
  </si>
  <si>
    <t>Syed Abbas</t>
  </si>
  <si>
    <t>Rachel Valdez</t>
  </si>
  <si>
    <t>Germany</t>
  </si>
  <si>
    <t>Lynn Tsoflias</t>
  </si>
  <si>
    <t>Australia</t>
  </si>
  <si>
    <t>By territory</t>
  </si>
  <si>
    <t>By category / subcategory</t>
  </si>
  <si>
    <t>category</t>
  </si>
  <si>
    <t>subcategory</t>
  </si>
  <si>
    <t>sales</t>
  </si>
  <si>
    <t>cost</t>
  </si>
  <si>
    <t>gross_margin</t>
  </si>
  <si>
    <t>margin_pct</t>
  </si>
  <si>
    <t>Accessories</t>
  </si>
  <si>
    <t>Bike Racks</t>
  </si>
  <si>
    <t>Bottles and Cages</t>
  </si>
  <si>
    <t>Cleaners</t>
  </si>
  <si>
    <t>Helmets</t>
  </si>
  <si>
    <t>Hydration Packs</t>
  </si>
  <si>
    <t>Tires and Tubes</t>
  </si>
  <si>
    <t>Bikes</t>
  </si>
  <si>
    <t>Mountain Bikes</t>
  </si>
  <si>
    <t>Road Bikes</t>
  </si>
  <si>
    <t>Touring Bikes</t>
  </si>
  <si>
    <t>Clothing</t>
  </si>
  <si>
    <t>Caps</t>
  </si>
  <si>
    <t>Gloves</t>
  </si>
  <si>
    <t>Jerseys</t>
  </si>
  <si>
    <t>Shorts</t>
  </si>
  <si>
    <t>Socks</t>
  </si>
  <si>
    <t>Vests</t>
  </si>
  <si>
    <t>Components</t>
  </si>
  <si>
    <t>Bottom Brackets</t>
  </si>
  <si>
    <t>Brakes</t>
  </si>
  <si>
    <t>Chains</t>
  </si>
  <si>
    <t>Cranksets</t>
  </si>
  <si>
    <t>Derailleurs</t>
  </si>
  <si>
    <t>Handlebars</t>
  </si>
  <si>
    <t>Mountain Frames</t>
  </si>
  <si>
    <t>Pedals</t>
  </si>
  <si>
    <t>Road Frames</t>
  </si>
  <si>
    <t>Saddles</t>
  </si>
  <si>
    <t>Touring Frames</t>
  </si>
  <si>
    <t>Top / bottom products by margin</t>
  </si>
  <si>
    <t>product</t>
  </si>
  <si>
    <t>rank_group</t>
  </si>
  <si>
    <t>Mountain-200 Black, 38</t>
  </si>
  <si>
    <t>top</t>
  </si>
  <si>
    <t>Mountain-200 Silver, 38</t>
  </si>
  <si>
    <t>Mountain-200 Black, 46</t>
  </si>
  <si>
    <t>Mountain-200 Black, 42</t>
  </si>
  <si>
    <t>Mountain-200 Silver, 42</t>
  </si>
  <si>
    <t>Mountain-200 Silver, 46</t>
  </si>
  <si>
    <t>Hitch Rack - 4-Bike</t>
  </si>
  <si>
    <t>Classic Vest, S</t>
  </si>
  <si>
    <t>Women's Mountain Shorts, S</t>
  </si>
  <si>
    <t>HL Crankset</t>
  </si>
  <si>
    <t>Road-350-W Yellow, 48</t>
  </si>
  <si>
    <t>bottom</t>
  </si>
  <si>
    <t>Road-350-W Yellow, 40</t>
  </si>
  <si>
    <t>Touring-1000 Blue, 60</t>
  </si>
  <si>
    <t>Road-250 Black, 44</t>
  </si>
  <si>
    <t>Road-250 Black, 48</t>
  </si>
  <si>
    <t>Touring-1000 Yellow, 60</t>
  </si>
  <si>
    <t>Touring-1000 Blue, 46</t>
  </si>
  <si>
    <t>Road-350-W Yellow, 42</t>
  </si>
  <si>
    <t>Touring-1000 Yellow, 46</t>
  </si>
  <si>
    <t>Road-250 Black, 58</t>
  </si>
  <si>
    <t>stage</t>
  </si>
  <si>
    <t>n_rows</t>
  </si>
  <si>
    <t>total_value</t>
  </si>
  <si>
    <t>raw</t>
  </si>
  <si>
    <t>used</t>
  </si>
  <si>
    <t>excluded</t>
  </si>
  <si>
    <t>Definitions, assumptions and data source</t>
  </si>
  <si>
    <t>Sales amount: gross reseller sales (SalesAmount) for the quarter.</t>
  </si>
  <si>
    <t>Cost: TotalProductCost (line-level, = ProductStandardCost x quantity).</t>
  </si>
  <si>
    <t>Gross margin: sales - cost. Margin %: gross margin / sales.</t>
  </si>
  <si>
    <t>Quota: FactSalesQuota amount, per salesperson per quarter, reseller sales only.</t>
  </si>
  <si>
    <t>Variance: actual - quota. Attainment %: actual / quota.</t>
  </si>
  <si>
    <t>Reporting quarter: 2013Q3.</t>
  </si>
  <si>
    <t>Source: AdventureWorksDW sample data (see README for licence and access date).</t>
  </si>
</sst>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0" fontId="2" fillId="2" borderId="0" xfId="0" applyFont="1" applyFill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Actual vs quota by quarter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Actual</c:v>
          </c:tx>
          <c:cat>
            <c:strRef>
              <c:f>Summary!$A$11:$A$23</c:f>
              <c:strCache>
                <c:ptCount val="13"/>
                <c:pt idx="0">
                  <c:v>2010Q4</c:v>
                </c:pt>
                <c:pt idx="1">
                  <c:v>2011Q1</c:v>
                </c:pt>
                <c:pt idx="2">
                  <c:v>2011Q2</c:v>
                </c:pt>
                <c:pt idx="3">
                  <c:v>2011Q3</c:v>
                </c:pt>
                <c:pt idx="4">
                  <c:v>2011Q4</c:v>
                </c:pt>
                <c:pt idx="5">
                  <c:v>2012Q1</c:v>
                </c:pt>
                <c:pt idx="6">
                  <c:v>2012Q2</c:v>
                </c:pt>
                <c:pt idx="7">
                  <c:v>2012Q3</c:v>
                </c:pt>
                <c:pt idx="8">
                  <c:v>2012Q4</c:v>
                </c:pt>
                <c:pt idx="9">
                  <c:v>2013Q1</c:v>
                </c:pt>
                <c:pt idx="10">
                  <c:v>2013Q2</c:v>
                </c:pt>
                <c:pt idx="11">
                  <c:v>2013Q3</c:v>
                </c:pt>
                <c:pt idx="12">
                  <c:v>2013Q4</c:v>
                </c:pt>
              </c:strCache>
            </c:strRef>
          </c:cat>
          <c:val>
            <c:numRef>
              <c:f>Summary!$B$11:$B$23</c:f>
              <c:numCache>
                <c:formatCode>General</c:formatCode>
                <c:ptCount val="13"/>
                <c:pt idx="0">
                  <c:v>489328.5787</c:v>
                </c:pt>
                <c:pt idx="1">
                  <c:v>3549026.3863</c:v>
                </c:pt>
                <c:pt idx="2">
                  <c:v>4027080.3403</c:v>
                </c:pt>
                <c:pt idx="3">
                  <c:v>4952085.9807</c:v>
                </c:pt>
                <c:pt idx="4">
                  <c:v>5664610.007</c:v>
                </c:pt>
                <c:pt idx="5">
                  <c:v>8288704.1255</c:v>
                </c:pt>
                <c:pt idx="6">
                  <c:v>6556571.3742</c:v>
                </c:pt>
                <c:pt idx="7">
                  <c:v>5814080.106</c:v>
                </c:pt>
                <c:pt idx="8">
                  <c:v>7534275.9264</c:v>
                </c:pt>
                <c:pt idx="9">
                  <c:v>10542661.4243</c:v>
                </c:pt>
                <c:pt idx="10">
                  <c:v>8656657.4593</c:v>
                </c:pt>
                <c:pt idx="11">
                  <c:v>7644679.6351</c:v>
                </c:pt>
                <c:pt idx="12">
                  <c:v>6730835.6385</c:v>
                </c:pt>
              </c:numCache>
            </c:numRef>
          </c:val>
        </c:ser>
        <c:ser>
          <c:idx val="1"/>
          <c:order val="1"/>
          <c:tx>
            <c:v>Quota</c:v>
          </c:tx>
          <c:cat>
            <c:strRef>
              <c:f>Summary!$A$11:$A$23</c:f>
              <c:strCache>
                <c:ptCount val="13"/>
                <c:pt idx="0">
                  <c:v>2010Q4</c:v>
                </c:pt>
                <c:pt idx="1">
                  <c:v>2011Q1</c:v>
                </c:pt>
                <c:pt idx="2">
                  <c:v>2011Q2</c:v>
                </c:pt>
                <c:pt idx="3">
                  <c:v>2011Q3</c:v>
                </c:pt>
                <c:pt idx="4">
                  <c:v>2011Q4</c:v>
                </c:pt>
                <c:pt idx="5">
                  <c:v>2012Q1</c:v>
                </c:pt>
                <c:pt idx="6">
                  <c:v>2012Q2</c:v>
                </c:pt>
                <c:pt idx="7">
                  <c:v>2012Q3</c:v>
                </c:pt>
                <c:pt idx="8">
                  <c:v>2012Q4</c:v>
                </c:pt>
                <c:pt idx="9">
                  <c:v>2013Q1</c:v>
                </c:pt>
                <c:pt idx="10">
                  <c:v>2013Q2</c:v>
                </c:pt>
                <c:pt idx="11">
                  <c:v>2013Q3</c:v>
                </c:pt>
                <c:pt idx="12">
                  <c:v>2013Q4</c:v>
                </c:pt>
              </c:strCache>
            </c:strRef>
          </c:cat>
          <c:val>
            <c:numRef>
              <c:f>Summary!$C$11:$C$23</c:f>
              <c:numCache>
                <c:formatCode>General</c:formatCode>
                <c:ptCount val="13"/>
                <c:pt idx="0">
                  <c:v>3886000</c:v>
                </c:pt>
                <c:pt idx="1">
                  <c:v>5627000</c:v>
                </c:pt>
                <c:pt idx="2">
                  <c:v>0</c:v>
                </c:pt>
                <c:pt idx="3">
                  <c:v>9818000</c:v>
                </c:pt>
                <c:pt idx="4">
                  <c:v>10537000</c:v>
                </c:pt>
                <c:pt idx="5">
                  <c:v>8654000</c:v>
                </c:pt>
                <c:pt idx="6">
                  <c:v>5913000</c:v>
                </c:pt>
                <c:pt idx="7">
                  <c:v>8039000</c:v>
                </c:pt>
                <c:pt idx="8">
                  <c:v>13733000</c:v>
                </c:pt>
                <c:pt idx="9">
                  <c:v>11097000</c:v>
                </c:pt>
                <c:pt idx="10">
                  <c:v>8051000</c:v>
                </c:pt>
                <c:pt idx="11">
                  <c:v>10359000</c:v>
                </c:pt>
                <c:pt idx="1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0</xdr:rowOff>
    </xdr:from>
    <xdr:to>
      <xdr:col>4</xdr:col>
      <xdr:colOff>219075</xdr:colOff>
      <xdr:row>38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18.7109375" customWidth="1"/>
  </cols>
  <sheetData>
    <row r="1" spans="1:3">
      <c r="A1" s="1" t="s">
        <v>0</v>
      </c>
    </row>
    <row r="3" spans="1:3">
      <c r="A3" t="s">
        <v>1</v>
      </c>
      <c r="B3" s="2">
        <v>7644679.6351</v>
      </c>
    </row>
    <row r="4" spans="1:3">
      <c r="A4" t="s">
        <v>2</v>
      </c>
      <c r="B4" s="3">
        <v>0.00304020160547853</v>
      </c>
    </row>
    <row r="5" spans="1:3">
      <c r="A5" t="s">
        <v>3</v>
      </c>
      <c r="B5" s="3">
        <v>0.7379746727579882</v>
      </c>
    </row>
    <row r="6" spans="1:3">
      <c r="A6" t="s">
        <v>4</v>
      </c>
      <c r="B6" s="2">
        <v>1830599.529099999</v>
      </c>
    </row>
    <row r="7" spans="1:3">
      <c r="A7" t="s">
        <v>5</v>
      </c>
      <c r="B7" s="3">
        <v>0.3148562619924795</v>
      </c>
    </row>
    <row r="10" spans="1:3">
      <c r="A10" s="4" t="s">
        <v>6</v>
      </c>
      <c r="B10" s="4" t="s">
        <v>7</v>
      </c>
      <c r="C10" s="4" t="s">
        <v>8</v>
      </c>
    </row>
    <row r="11" spans="1:3">
      <c r="A11" t="s">
        <v>9</v>
      </c>
      <c r="B11" s="2">
        <v>489328.5787</v>
      </c>
      <c r="C11" s="2">
        <v>3886000</v>
      </c>
    </row>
    <row r="12" spans="1:3">
      <c r="A12" t="s">
        <v>10</v>
      </c>
      <c r="B12" s="2">
        <v>3549026.3863</v>
      </c>
      <c r="C12" s="2">
        <v>5627000</v>
      </c>
    </row>
    <row r="13" spans="1:3">
      <c r="A13" t="s">
        <v>11</v>
      </c>
      <c r="B13" s="2">
        <v>4027080.3403</v>
      </c>
      <c r="C13" s="2">
        <v>0</v>
      </c>
    </row>
    <row r="14" spans="1:3">
      <c r="A14" t="s">
        <v>12</v>
      </c>
      <c r="B14" s="2">
        <v>4952085.9807</v>
      </c>
      <c r="C14" s="2">
        <v>9818000</v>
      </c>
    </row>
    <row r="15" spans="1:3">
      <c r="A15" t="s">
        <v>13</v>
      </c>
      <c r="B15" s="2">
        <v>5664610.007</v>
      </c>
      <c r="C15" s="2">
        <v>10537000</v>
      </c>
    </row>
    <row r="16" spans="1:3">
      <c r="A16" t="s">
        <v>14</v>
      </c>
      <c r="B16" s="2">
        <v>8288704.1255</v>
      </c>
      <c r="C16" s="2">
        <v>8654000</v>
      </c>
    </row>
    <row r="17" spans="1:3">
      <c r="A17" t="s">
        <v>15</v>
      </c>
      <c r="B17" s="2">
        <v>6556571.3742</v>
      </c>
      <c r="C17" s="2">
        <v>5913000</v>
      </c>
    </row>
    <row r="18" spans="1:3">
      <c r="A18" t="s">
        <v>16</v>
      </c>
      <c r="B18" s="2">
        <v>5814080.106</v>
      </c>
      <c r="C18" s="2">
        <v>8039000</v>
      </c>
    </row>
    <row r="19" spans="1:3">
      <c r="A19" t="s">
        <v>17</v>
      </c>
      <c r="B19" s="2">
        <v>7534275.9264</v>
      </c>
      <c r="C19" s="2">
        <v>13733000</v>
      </c>
    </row>
    <row r="20" spans="1:3">
      <c r="A20" t="s">
        <v>18</v>
      </c>
      <c r="B20" s="2">
        <v>10542661.4243</v>
      </c>
      <c r="C20" s="2">
        <v>11097000</v>
      </c>
    </row>
    <row r="21" spans="1:3">
      <c r="A21" t="s">
        <v>19</v>
      </c>
      <c r="B21" s="2">
        <v>8656657.4593</v>
      </c>
      <c r="C21" s="2">
        <v>8051000</v>
      </c>
    </row>
    <row r="22" spans="1:3">
      <c r="A22" t="s">
        <v>20</v>
      </c>
      <c r="B22" s="2">
        <v>7644679.6351</v>
      </c>
      <c r="C22" s="2">
        <v>10359000</v>
      </c>
    </row>
    <row r="23" spans="1:3">
      <c r="A23" t="s">
        <v>21</v>
      </c>
      <c r="B23" s="2">
        <v>6730835.6385</v>
      </c>
      <c r="C23" s="2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4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6.7109375" customWidth="1"/>
  </cols>
  <sheetData>
    <row r="1" spans="1:7">
      <c r="A1" s="4" t="s">
        <v>22</v>
      </c>
    </row>
    <row r="2" spans="1:7">
      <c r="A2" s="4" t="s">
        <v>23</v>
      </c>
      <c r="B2" s="4" t="s">
        <v>24</v>
      </c>
      <c r="C2" s="4" t="s">
        <v>25</v>
      </c>
      <c r="D2" s="4" t="s">
        <v>7</v>
      </c>
      <c r="E2" s="4" t="s">
        <v>8</v>
      </c>
      <c r="F2" s="4" t="s">
        <v>26</v>
      </c>
      <c r="G2" s="4" t="s">
        <v>27</v>
      </c>
    </row>
    <row r="3" spans="1:7">
      <c r="A3">
        <v>272</v>
      </c>
      <c r="B3" t="s">
        <v>28</v>
      </c>
      <c r="C3" t="s">
        <v>29</v>
      </c>
      <c r="D3" s="2">
        <v>42740.8621</v>
      </c>
      <c r="E3" s="2">
        <v>187000</v>
      </c>
      <c r="F3" s="2">
        <f>D3-E3</f>
        <v>-144259.1379</v>
      </c>
      <c r="G3" s="3">
        <f>D3/E3</f>
        <v>0.2285607598930481</v>
      </c>
    </row>
    <row r="4" spans="1:7">
      <c r="A4">
        <v>281</v>
      </c>
      <c r="B4" t="s">
        <v>30</v>
      </c>
      <c r="C4" t="s">
        <v>31</v>
      </c>
      <c r="D4" s="2">
        <v>763323.3832</v>
      </c>
      <c r="E4" s="2">
        <v>869000</v>
      </c>
      <c r="F4" s="2">
        <f>D4-E4</f>
        <v>-105676.61679999996</v>
      </c>
      <c r="G4" s="3">
        <f>D4/E4</f>
        <v>0.8783928460299195</v>
      </c>
    </row>
    <row r="5" spans="1:7">
      <c r="A5">
        <v>282</v>
      </c>
      <c r="B5" t="s">
        <v>32</v>
      </c>
      <c r="C5" t="s">
        <v>33</v>
      </c>
      <c r="D5" s="2">
        <v>964508.9627</v>
      </c>
      <c r="E5" s="2">
        <v>1124000</v>
      </c>
      <c r="F5" s="2">
        <f>D5-E5</f>
        <v>-159491.03729999997</v>
      </c>
      <c r="G5" s="3">
        <f>D5/E5</f>
        <v>0.858104059341637</v>
      </c>
    </row>
    <row r="6" spans="1:7">
      <c r="A6">
        <v>283</v>
      </c>
      <c r="B6" t="s">
        <v>34</v>
      </c>
      <c r="C6" t="s">
        <v>35</v>
      </c>
      <c r="D6" s="2">
        <v>659874.0763</v>
      </c>
      <c r="E6" s="2">
        <v>947000</v>
      </c>
      <c r="F6" s="2">
        <f>D6-E6</f>
        <v>-287125.92370000004</v>
      </c>
      <c r="G6" s="3">
        <f>D6/E6</f>
        <v>0.6968047268215417</v>
      </c>
    </row>
    <row r="7" spans="1:7">
      <c r="A7">
        <v>284</v>
      </c>
      <c r="B7" t="s">
        <v>36</v>
      </c>
      <c r="C7" t="s">
        <v>37</v>
      </c>
      <c r="D7" s="2">
        <v>233072.7542</v>
      </c>
      <c r="E7" s="2">
        <v>390000</v>
      </c>
      <c r="F7" s="2">
        <f>D7-E7</f>
        <v>-156927.2458</v>
      </c>
      <c r="G7" s="3">
        <f>D7/E7</f>
        <v>0.5976224466666666</v>
      </c>
    </row>
    <row r="8" spans="1:7">
      <c r="A8">
        <v>285</v>
      </c>
      <c r="B8" t="s">
        <v>38</v>
      </c>
      <c r="C8" t="s">
        <v>39</v>
      </c>
      <c r="D8" s="2">
        <v>481347.5935</v>
      </c>
      <c r="E8" s="2">
        <v>686000</v>
      </c>
      <c r="F8" s="2">
        <f>D8-E8</f>
        <v>-204652.40649999998</v>
      </c>
      <c r="G8" s="3">
        <f>D8/E8</f>
        <v>0.7016728768221575</v>
      </c>
    </row>
    <row r="9" spans="1:7">
      <c r="A9">
        <v>286</v>
      </c>
      <c r="B9" t="s">
        <v>40</v>
      </c>
      <c r="C9" t="s">
        <v>41</v>
      </c>
      <c r="D9" s="2">
        <v>329601.5565</v>
      </c>
      <c r="E9" s="2">
        <v>390000</v>
      </c>
      <c r="F9" s="2">
        <f>D9-E9</f>
        <v>-60398.443499999994</v>
      </c>
      <c r="G9" s="3">
        <f>D9/E9</f>
        <v>0.8451321961538462</v>
      </c>
    </row>
    <row r="10" spans="1:7">
      <c r="A10">
        <v>287</v>
      </c>
      <c r="B10" t="s">
        <v>42</v>
      </c>
      <c r="C10" t="s">
        <v>33</v>
      </c>
      <c r="D10" s="2">
        <v>542061.4607000001</v>
      </c>
      <c r="E10" s="2">
        <v>724000</v>
      </c>
      <c r="F10" s="2">
        <f>D10-E10</f>
        <v>-181938.53929999995</v>
      </c>
      <c r="G10" s="3">
        <f>D10/E10</f>
        <v>0.7487036750000001</v>
      </c>
    </row>
    <row r="11" spans="1:7">
      <c r="A11">
        <v>288</v>
      </c>
      <c r="B11" t="s">
        <v>43</v>
      </c>
      <c r="C11" t="s">
        <v>37</v>
      </c>
      <c r="D11" s="2">
        <v>531616.7118</v>
      </c>
      <c r="E11" s="2">
        <v>830000</v>
      </c>
      <c r="F11" s="2">
        <f>D11-E11</f>
        <v>-298383.28819999995</v>
      </c>
      <c r="G11" s="3">
        <f>D11/E11</f>
        <v>0.6405020624096386</v>
      </c>
    </row>
    <row r="12" spans="1:7">
      <c r="A12">
        <v>289</v>
      </c>
      <c r="B12" t="s">
        <v>44</v>
      </c>
      <c r="C12" t="s">
        <v>41</v>
      </c>
      <c r="D12" s="2">
        <v>321594.5513</v>
      </c>
      <c r="E12" s="2">
        <v>403000</v>
      </c>
      <c r="F12" s="2">
        <f>D12-E12</f>
        <v>-81405.44870000001</v>
      </c>
      <c r="G12" s="3">
        <f>D12/E12</f>
        <v>0.7980013679900744</v>
      </c>
    </row>
    <row r="13" spans="1:7">
      <c r="A13">
        <v>290</v>
      </c>
      <c r="B13" t="s">
        <v>45</v>
      </c>
      <c r="C13" t="s">
        <v>29</v>
      </c>
      <c r="D13" s="2">
        <v>97326.67200000001</v>
      </c>
      <c r="E13" s="2">
        <v>1000</v>
      </c>
      <c r="F13" s="2">
        <f>D13-E13</f>
        <v>96326.672</v>
      </c>
      <c r="G13" s="3">
        <f>D13/E13</f>
        <v>97.326672</v>
      </c>
    </row>
    <row r="14" spans="1:7">
      <c r="A14">
        <v>291</v>
      </c>
      <c r="B14" t="s">
        <v>46</v>
      </c>
      <c r="C14" t="s">
        <v>47</v>
      </c>
      <c r="D14" s="2">
        <v>928062.8743</v>
      </c>
      <c r="E14" s="2">
        <v>1329000</v>
      </c>
      <c r="F14" s="2">
        <f>D14-E14</f>
        <v>-400937.1257</v>
      </c>
      <c r="G14" s="3">
        <f>D14/E14</f>
        <v>0.6983166849510911</v>
      </c>
    </row>
    <row r="15" spans="1:7">
      <c r="A15">
        <v>292</v>
      </c>
      <c r="B15" t="s">
        <v>48</v>
      </c>
      <c r="C15" t="s">
        <v>49</v>
      </c>
      <c r="D15" s="2">
        <v>609400.8239</v>
      </c>
      <c r="E15" s="2">
        <v>908000</v>
      </c>
      <c r="F15" s="2">
        <f>D15-E15</f>
        <v>-298599.17610000004</v>
      </c>
      <c r="G15" s="3">
        <f>D15/E15</f>
        <v>0.6711462818281938</v>
      </c>
    </row>
    <row r="16" spans="1:7">
      <c r="A16">
        <v>293</v>
      </c>
      <c r="B16" t="s">
        <v>50</v>
      </c>
      <c r="C16" t="s">
        <v>41</v>
      </c>
      <c r="D16" s="2">
        <v>416821.7354</v>
      </c>
      <c r="E16" s="2">
        <v>497000</v>
      </c>
      <c r="F16" s="2">
        <f>D16-E16</f>
        <v>-80178.2646</v>
      </c>
      <c r="G16" s="3">
        <f>D16/E16</f>
        <v>0.838675523943662</v>
      </c>
    </row>
    <row r="17" spans="1:7">
      <c r="A17">
        <v>294</v>
      </c>
      <c r="B17" t="s">
        <v>51</v>
      </c>
      <c r="C17" t="s">
        <v>29</v>
      </c>
      <c r="D17" s="2">
        <v>1376.994</v>
      </c>
      <c r="E17" s="2">
        <v>26000</v>
      </c>
      <c r="F17" s="2">
        <f>D17-E17</f>
        <v>-24623.006</v>
      </c>
      <c r="G17" s="3">
        <f>D17/E17</f>
        <v>0.05296130769230769</v>
      </c>
    </row>
    <row r="18" spans="1:7">
      <c r="A18">
        <v>295</v>
      </c>
      <c r="B18" t="s">
        <v>52</v>
      </c>
      <c r="C18" t="s">
        <v>53</v>
      </c>
      <c r="D18" s="2">
        <v>387411.3002</v>
      </c>
      <c r="E18" s="2">
        <v>627000</v>
      </c>
      <c r="F18" s="2">
        <f>D18-E18</f>
        <v>-239588.6998</v>
      </c>
      <c r="G18" s="3">
        <f>D18/E18</f>
        <v>0.6178808615629984</v>
      </c>
    </row>
    <row r="19" spans="1:7">
      <c r="A19">
        <v>296</v>
      </c>
      <c r="B19" t="s">
        <v>54</v>
      </c>
      <c r="C19" t="s">
        <v>55</v>
      </c>
      <c r="D19" s="2">
        <v>334537.323</v>
      </c>
      <c r="E19" s="2">
        <v>421000</v>
      </c>
      <c r="F19" s="2">
        <f>D19-E19</f>
        <v>-86462.67700000003</v>
      </c>
      <c r="G19" s="3">
        <f>D19/E19</f>
        <v>0.7946254703087885</v>
      </c>
    </row>
    <row r="22" spans="1:7">
      <c r="A22" s="4" t="s">
        <v>56</v>
      </c>
    </row>
    <row r="23" spans="1:7">
      <c r="A23" s="4" t="s">
        <v>25</v>
      </c>
      <c r="B23" s="4" t="s">
        <v>7</v>
      </c>
      <c r="C23" s="4" t="s">
        <v>8</v>
      </c>
      <c r="D23" s="4" t="s">
        <v>26</v>
      </c>
      <c r="E23" s="4" t="s">
        <v>27</v>
      </c>
    </row>
    <row r="24" spans="1:7">
      <c r="A24" t="s">
        <v>55</v>
      </c>
      <c r="B24" s="2">
        <v>334537.323</v>
      </c>
      <c r="C24" s="2">
        <v>421000</v>
      </c>
      <c r="D24" s="2">
        <v>-86462.67700000003</v>
      </c>
      <c r="E24" s="3">
        <v>0.7946254703087885</v>
      </c>
    </row>
    <row r="25" spans="1:7">
      <c r="A25" t="s">
        <v>37</v>
      </c>
      <c r="B25" s="2">
        <v>764689.466</v>
      </c>
      <c r="C25" s="2">
        <v>1220000</v>
      </c>
      <c r="D25" s="2">
        <v>-455310.534</v>
      </c>
      <c r="E25" s="3">
        <v>0.6267946442622951</v>
      </c>
    </row>
    <row r="26" spans="1:7">
      <c r="A26" t="s">
        <v>35</v>
      </c>
      <c r="B26" s="2">
        <v>659874.0763</v>
      </c>
      <c r="C26" s="2">
        <v>947000</v>
      </c>
      <c r="D26" s="2">
        <v>-287125.9237</v>
      </c>
      <c r="E26" s="3">
        <v>0.6968047268215417</v>
      </c>
    </row>
    <row r="27" spans="1:7">
      <c r="A27" t="s">
        <v>49</v>
      </c>
      <c r="B27" s="2">
        <v>609400.8239</v>
      </c>
      <c r="C27" s="2">
        <v>908000</v>
      </c>
      <c r="D27" s="2">
        <v>-298599.1761</v>
      </c>
      <c r="E27" s="3">
        <v>0.6711462818281938</v>
      </c>
    </row>
    <row r="28" spans="1:7">
      <c r="A28" t="s">
        <v>53</v>
      </c>
      <c r="B28" s="2">
        <v>387411.3002</v>
      </c>
      <c r="C28" s="2">
        <v>627000</v>
      </c>
      <c r="D28" s="2">
        <v>-239588.6998</v>
      </c>
      <c r="E28" s="3">
        <v>0.6178808615629984</v>
      </c>
    </row>
    <row r="29" spans="1:7">
      <c r="A29" t="s">
        <v>29</v>
      </c>
      <c r="B29" s="2">
        <v>141444.5281</v>
      </c>
      <c r="C29" s="2">
        <v>214000</v>
      </c>
      <c r="D29" s="2">
        <v>-72555.4719</v>
      </c>
      <c r="E29" s="3">
        <v>0.6609557387850468</v>
      </c>
    </row>
    <row r="30" spans="1:7">
      <c r="A30" t="s">
        <v>31</v>
      </c>
      <c r="B30" s="2">
        <v>763323.3832</v>
      </c>
      <c r="C30" s="2">
        <v>869000</v>
      </c>
      <c r="D30" s="2">
        <v>-105676.6168</v>
      </c>
      <c r="E30" s="3">
        <v>0.8783928460299195</v>
      </c>
    </row>
    <row r="31" spans="1:7">
      <c r="A31" t="s">
        <v>41</v>
      </c>
      <c r="B31" s="2">
        <v>1068017.8432</v>
      </c>
      <c r="C31" s="2">
        <v>1290000</v>
      </c>
      <c r="D31" s="2">
        <v>-221982.1568</v>
      </c>
      <c r="E31" s="3">
        <v>0.8279208086821706</v>
      </c>
    </row>
    <row r="32" spans="1:7">
      <c r="A32" t="s">
        <v>39</v>
      </c>
      <c r="B32" s="2">
        <v>481347.5935</v>
      </c>
      <c r="C32" s="2">
        <v>686000</v>
      </c>
      <c r="D32" s="2">
        <v>-204652.4065</v>
      </c>
      <c r="E32" s="3">
        <v>0.7016728768221575</v>
      </c>
    </row>
    <row r="33" spans="1:5">
      <c r="A33" t="s">
        <v>33</v>
      </c>
      <c r="B33" s="2">
        <v>1506570.4234</v>
      </c>
      <c r="C33" s="2">
        <v>1848000</v>
      </c>
      <c r="D33" s="2">
        <v>-341429.5765999998</v>
      </c>
      <c r="E33" s="3">
        <v>0.8152437356060607</v>
      </c>
    </row>
    <row r="34" spans="1:5">
      <c r="A34" t="s">
        <v>47</v>
      </c>
      <c r="B34" s="2">
        <v>928062.8743</v>
      </c>
      <c r="C34" s="2">
        <v>1329000</v>
      </c>
      <c r="D34" s="2">
        <v>-400937.1257</v>
      </c>
      <c r="E34" s="3">
        <v>0.6983166849510911</v>
      </c>
    </row>
  </sheetData>
  <conditionalFormatting sqref="G3:G19">
    <cfRule type="cellIs" dxfId="0" priority="1" operator="greaterThanOrEqual">
      <formula>1</formula>
    </cfRule>
    <cfRule type="cellIs" dxfId="1" priority="2" operator="less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1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8.7109375" customWidth="1"/>
  </cols>
  <sheetData>
    <row r="1" spans="1:6">
      <c r="A1" s="4" t="s">
        <v>57</v>
      </c>
    </row>
    <row r="2" spans="1:6">
      <c r="A2" s="4" t="s">
        <v>58</v>
      </c>
      <c r="B2" s="4" t="s">
        <v>59</v>
      </c>
      <c r="C2" s="4" t="s">
        <v>60</v>
      </c>
      <c r="D2" s="4" t="s">
        <v>61</v>
      </c>
      <c r="E2" s="4" t="s">
        <v>62</v>
      </c>
      <c r="F2" s="4" t="s">
        <v>63</v>
      </c>
    </row>
    <row r="3" spans="1:6">
      <c r="A3" t="s">
        <v>64</v>
      </c>
      <c r="B3" t="s">
        <v>65</v>
      </c>
      <c r="C3" s="2">
        <v>32314.776</v>
      </c>
      <c r="D3" s="2">
        <v>20510.16</v>
      </c>
      <c r="E3" s="2">
        <v>11804.616</v>
      </c>
      <c r="F3" s="3">
        <v>0.3653008766020845</v>
      </c>
    </row>
    <row r="4" spans="1:6">
      <c r="A4" t="s">
        <v>64</v>
      </c>
      <c r="B4" t="s">
        <v>66</v>
      </c>
      <c r="C4" s="2">
        <v>1193.137</v>
      </c>
      <c r="D4" s="2">
        <v>755.8515</v>
      </c>
      <c r="E4" s="2">
        <v>437.2855</v>
      </c>
      <c r="F4" s="3">
        <v>0.3665006617010452</v>
      </c>
    </row>
    <row r="5" spans="1:6">
      <c r="A5" t="s">
        <v>64</v>
      </c>
      <c r="B5" t="s">
        <v>67</v>
      </c>
      <c r="C5" s="2">
        <v>1840.5181</v>
      </c>
      <c r="D5" s="2">
        <v>1171.4802</v>
      </c>
      <c r="E5" s="2">
        <v>669.0379</v>
      </c>
      <c r="F5" s="3">
        <v>0.3635051999760285</v>
      </c>
    </row>
    <row r="6" spans="1:6">
      <c r="A6" t="s">
        <v>64</v>
      </c>
      <c r="B6" t="s">
        <v>68</v>
      </c>
      <c r="C6" s="2">
        <v>21430.5039</v>
      </c>
      <c r="D6" s="2">
        <v>13531.2342</v>
      </c>
      <c r="E6" s="2">
        <v>7899.269700000001</v>
      </c>
      <c r="F6" s="3">
        <v>0.3685993449738716</v>
      </c>
    </row>
    <row r="7" spans="1:6">
      <c r="A7" t="s">
        <v>64</v>
      </c>
      <c r="B7" t="s">
        <v>69</v>
      </c>
      <c r="C7" s="2">
        <v>8873.582399999999</v>
      </c>
      <c r="D7" s="2">
        <v>5594.0336</v>
      </c>
      <c r="E7" s="2">
        <v>3279.5488</v>
      </c>
      <c r="F7" s="3">
        <v>0.3695856591132798</v>
      </c>
    </row>
    <row r="8" spans="1:6">
      <c r="A8" t="s">
        <v>64</v>
      </c>
      <c r="B8" t="s">
        <v>70</v>
      </c>
      <c r="C8" s="2">
        <v>119.538</v>
      </c>
      <c r="D8" s="2">
        <v>74.5155</v>
      </c>
      <c r="E8" s="2">
        <v>45.02250000000001</v>
      </c>
      <c r="F8" s="3">
        <v>0.3766375545851529</v>
      </c>
    </row>
    <row r="9" spans="1:6">
      <c r="A9" t="s">
        <v>71</v>
      </c>
      <c r="B9" t="s">
        <v>72</v>
      </c>
      <c r="C9" s="2">
        <v>1927940.1491</v>
      </c>
      <c r="D9" s="2">
        <v>1764434.2232</v>
      </c>
      <c r="E9" s="2">
        <v>163505.9259000001</v>
      </c>
      <c r="F9" s="3">
        <v>0.08480861087743201</v>
      </c>
    </row>
    <row r="10" spans="1:6">
      <c r="A10" t="s">
        <v>71</v>
      </c>
      <c r="B10" t="s">
        <v>73</v>
      </c>
      <c r="C10" s="2">
        <v>2217301.9731</v>
      </c>
      <c r="D10" s="2">
        <v>2360724.8888</v>
      </c>
      <c r="E10" s="2">
        <v>-143422.9156999998</v>
      </c>
      <c r="F10" s="3">
        <v>-0.06468352864877526</v>
      </c>
    </row>
    <row r="11" spans="1:6">
      <c r="A11" t="s">
        <v>71</v>
      </c>
      <c r="B11" t="s">
        <v>74</v>
      </c>
      <c r="C11" s="2">
        <v>2425404.7693</v>
      </c>
      <c r="D11" s="2">
        <v>2520555.8529</v>
      </c>
      <c r="E11" s="2">
        <v>-95151.08360000001</v>
      </c>
      <c r="F11" s="3">
        <v>-0.03923101199617981</v>
      </c>
    </row>
    <row r="12" spans="1:6">
      <c r="A12" t="s">
        <v>75</v>
      </c>
      <c r="B12" t="s">
        <v>76</v>
      </c>
      <c r="C12" s="2">
        <v>2498.882</v>
      </c>
      <c r="D12" s="2">
        <v>3281.1702</v>
      </c>
      <c r="E12" s="2">
        <v>-782.2882</v>
      </c>
      <c r="F12" s="3">
        <v>-0.3130552783204649</v>
      </c>
    </row>
    <row r="13" spans="1:6">
      <c r="A13" t="s">
        <v>75</v>
      </c>
      <c r="B13" t="s">
        <v>77</v>
      </c>
      <c r="C13" s="2">
        <v>7292.0739</v>
      </c>
      <c r="D13" s="2">
        <v>4561.3314</v>
      </c>
      <c r="E13" s="2">
        <v>2730.7425</v>
      </c>
      <c r="F13" s="3">
        <v>0.3744809141333579</v>
      </c>
    </row>
    <row r="14" spans="1:6">
      <c r="A14" t="s">
        <v>75</v>
      </c>
      <c r="B14" t="s">
        <v>78</v>
      </c>
      <c r="C14" s="2">
        <v>67764.3444</v>
      </c>
      <c r="D14" s="2">
        <v>88108.1278</v>
      </c>
      <c r="E14" s="2">
        <v>-20343.7834</v>
      </c>
      <c r="F14" s="3">
        <v>-0.3002136828759757</v>
      </c>
    </row>
    <row r="15" spans="1:6">
      <c r="A15" t="s">
        <v>75</v>
      </c>
      <c r="B15" t="s">
        <v>79</v>
      </c>
      <c r="C15" s="2">
        <v>53286.0816</v>
      </c>
      <c r="D15" s="2">
        <v>35233.2998</v>
      </c>
      <c r="E15" s="2">
        <v>18052.7818</v>
      </c>
      <c r="F15" s="3">
        <v>0.3387898163636036</v>
      </c>
    </row>
    <row r="16" spans="1:6">
      <c r="A16" t="s">
        <v>75</v>
      </c>
      <c r="B16" t="s">
        <v>80</v>
      </c>
      <c r="C16" s="2">
        <v>3091.2683</v>
      </c>
      <c r="D16" s="2">
        <v>1963.5832</v>
      </c>
      <c r="E16" s="2">
        <v>1127.6851</v>
      </c>
      <c r="F16" s="3">
        <v>0.3647969022941165</v>
      </c>
    </row>
    <row r="17" spans="1:6">
      <c r="A17" t="s">
        <v>75</v>
      </c>
      <c r="B17" t="s">
        <v>81</v>
      </c>
      <c r="C17" s="2">
        <v>38735.8574</v>
      </c>
      <c r="D17" s="2">
        <v>24865.203</v>
      </c>
      <c r="E17" s="2">
        <v>13870.6544</v>
      </c>
      <c r="F17" s="3">
        <v>0.3580830613032978</v>
      </c>
    </row>
    <row r="18" spans="1:6">
      <c r="A18" t="s">
        <v>82</v>
      </c>
      <c r="B18" t="s">
        <v>83</v>
      </c>
      <c r="C18" s="2">
        <v>8569.008</v>
      </c>
      <c r="D18" s="2">
        <v>6341.0712</v>
      </c>
      <c r="E18" s="2">
        <v>2227.936799999999</v>
      </c>
      <c r="F18" s="3">
        <v>0.2599993838259924</v>
      </c>
    </row>
    <row r="19" spans="1:6">
      <c r="A19" t="s">
        <v>82</v>
      </c>
      <c r="B19" t="s">
        <v>84</v>
      </c>
      <c r="C19" s="2">
        <v>9009.9</v>
      </c>
      <c r="D19" s="2">
        <v>6667.326</v>
      </c>
      <c r="E19" s="2">
        <v>2342.574</v>
      </c>
      <c r="F19" s="3">
        <v>0.26</v>
      </c>
    </row>
    <row r="20" spans="1:6">
      <c r="A20" t="s">
        <v>82</v>
      </c>
      <c r="B20" t="s">
        <v>85</v>
      </c>
      <c r="C20" s="2">
        <v>1724.448</v>
      </c>
      <c r="D20" s="2">
        <v>1276.0972</v>
      </c>
      <c r="E20" s="2">
        <v>448.3508000000002</v>
      </c>
      <c r="F20" s="3">
        <v>0.2599967061923584</v>
      </c>
    </row>
    <row r="21" spans="1:6">
      <c r="A21" t="s">
        <v>82</v>
      </c>
      <c r="B21" t="s">
        <v>86</v>
      </c>
      <c r="C21" s="2">
        <v>35930.502</v>
      </c>
      <c r="D21" s="2">
        <v>26588.5788</v>
      </c>
      <c r="E21" s="2">
        <v>9341.923200000001</v>
      </c>
      <c r="F21" s="3">
        <v>0.2599997962733724</v>
      </c>
    </row>
    <row r="22" spans="1:6">
      <c r="A22" t="s">
        <v>82</v>
      </c>
      <c r="B22" t="s">
        <v>87</v>
      </c>
      <c r="C22" s="2">
        <v>9396.324000000001</v>
      </c>
      <c r="D22" s="2">
        <v>6953.284</v>
      </c>
      <c r="E22" s="2">
        <v>2443.040000000001</v>
      </c>
      <c r="F22" s="3">
        <v>0.2599995487597065</v>
      </c>
    </row>
    <row r="23" spans="1:6">
      <c r="A23" t="s">
        <v>82</v>
      </c>
      <c r="B23" t="s">
        <v>88</v>
      </c>
      <c r="C23" s="2">
        <v>9474.57</v>
      </c>
      <c r="D23" s="2">
        <v>7011.1883</v>
      </c>
      <c r="E23" s="2">
        <v>2463.3817</v>
      </c>
      <c r="F23" s="3">
        <v>0.2599993139530343</v>
      </c>
    </row>
    <row r="24" spans="1:6">
      <c r="A24" t="s">
        <v>82</v>
      </c>
      <c r="B24" t="s">
        <v>89</v>
      </c>
      <c r="C24" s="2">
        <v>389731.332</v>
      </c>
      <c r="D24" s="2">
        <v>355694.8117</v>
      </c>
      <c r="E24" s="2">
        <v>34036.52029999997</v>
      </c>
      <c r="F24" s="3">
        <v>0.08733329220756615</v>
      </c>
    </row>
    <row r="25" spans="1:6">
      <c r="A25" t="s">
        <v>82</v>
      </c>
      <c r="B25" t="s">
        <v>90</v>
      </c>
      <c r="C25" s="2">
        <v>21879.6266</v>
      </c>
      <c r="D25" s="2">
        <v>16213.6728</v>
      </c>
      <c r="E25" s="2">
        <v>5665.953799999999</v>
      </c>
      <c r="F25" s="3">
        <v>0.2589602603181537</v>
      </c>
    </row>
    <row r="26" spans="1:6">
      <c r="A26" t="s">
        <v>82</v>
      </c>
      <c r="B26" t="s">
        <v>91</v>
      </c>
      <c r="C26" s="2">
        <v>124327.584</v>
      </c>
      <c r="D26" s="2">
        <v>125736.6214</v>
      </c>
      <c r="E26" s="2">
        <v>-1409.037400000001</v>
      </c>
      <c r="F26" s="3">
        <v>-0.01133326454731077</v>
      </c>
    </row>
    <row r="27" spans="1:6">
      <c r="A27" t="s">
        <v>82</v>
      </c>
      <c r="B27" t="s">
        <v>92</v>
      </c>
      <c r="C27" s="2">
        <v>6689.904</v>
      </c>
      <c r="D27" s="2">
        <v>4950.5382</v>
      </c>
      <c r="E27" s="2">
        <v>1739.3658</v>
      </c>
      <c r="F27" s="3">
        <v>0.259998618814261</v>
      </c>
    </row>
    <row r="28" spans="1:6">
      <c r="A28" t="s">
        <v>82</v>
      </c>
      <c r="B28" t="s">
        <v>93</v>
      </c>
      <c r="C28" s="2">
        <v>218858.982</v>
      </c>
      <c r="D28" s="2">
        <v>218640.1229</v>
      </c>
      <c r="E28" s="2">
        <v>218.8591000000015</v>
      </c>
      <c r="F28" s="3">
        <v>0.001000000539159967</v>
      </c>
    </row>
    <row r="30" spans="1:6">
      <c r="A30" s="4" t="s">
        <v>94</v>
      </c>
    </row>
    <row r="31" spans="1:6">
      <c r="A31" s="4" t="s">
        <v>95</v>
      </c>
      <c r="B31" s="4" t="s">
        <v>60</v>
      </c>
      <c r="C31" s="4" t="s">
        <v>61</v>
      </c>
      <c r="D31" s="4" t="s">
        <v>62</v>
      </c>
      <c r="E31" s="4" t="s">
        <v>96</v>
      </c>
    </row>
    <row r="32" spans="1:6">
      <c r="A32" t="s">
        <v>97</v>
      </c>
      <c r="B32" s="2">
        <v>353596.4533</v>
      </c>
      <c r="C32" s="2">
        <v>323011.1754</v>
      </c>
      <c r="D32" s="2">
        <v>30585.27789999999</v>
      </c>
      <c r="E32" t="s">
        <v>98</v>
      </c>
    </row>
    <row r="33" spans="1:5">
      <c r="A33" t="s">
        <v>99</v>
      </c>
      <c r="B33" s="2">
        <v>266968.6733</v>
      </c>
      <c r="C33" s="2">
        <v>244264.5635</v>
      </c>
      <c r="D33" s="2">
        <v>22704.10980000003</v>
      </c>
      <c r="E33" t="s">
        <v>98</v>
      </c>
    </row>
    <row r="34" spans="1:5">
      <c r="A34" t="s">
        <v>100</v>
      </c>
      <c r="B34" s="2">
        <v>238001.479</v>
      </c>
      <c r="C34" s="2">
        <v>217844.7462</v>
      </c>
      <c r="D34" s="2">
        <v>20156.7328</v>
      </c>
      <c r="E34" t="s">
        <v>98</v>
      </c>
    </row>
    <row r="35" spans="1:5">
      <c r="A35" t="s">
        <v>101</v>
      </c>
      <c r="B35" s="2">
        <v>256608.3399</v>
      </c>
      <c r="C35" s="2">
        <v>236624.4657</v>
      </c>
      <c r="D35" s="2">
        <v>19983.87419999999</v>
      </c>
      <c r="E35" t="s">
        <v>98</v>
      </c>
    </row>
    <row r="36" spans="1:5">
      <c r="A36" t="s">
        <v>102</v>
      </c>
      <c r="B36" s="2">
        <v>239150.3692</v>
      </c>
      <c r="C36" s="2">
        <v>220217.793</v>
      </c>
      <c r="D36" s="2">
        <v>18932.57619999998</v>
      </c>
      <c r="E36" t="s">
        <v>98</v>
      </c>
    </row>
    <row r="37" spans="1:5">
      <c r="A37" t="s">
        <v>103</v>
      </c>
      <c r="B37" s="2">
        <v>216124.7004</v>
      </c>
      <c r="C37" s="2">
        <v>197436.642</v>
      </c>
      <c r="D37" s="2">
        <v>18688.05840000001</v>
      </c>
      <c r="E37" t="s">
        <v>98</v>
      </c>
    </row>
    <row r="38" spans="1:5">
      <c r="A38" t="s">
        <v>104</v>
      </c>
      <c r="B38" s="2">
        <v>32314.776</v>
      </c>
      <c r="C38" s="2">
        <v>20510.16</v>
      </c>
      <c r="D38" s="2">
        <v>11804.616</v>
      </c>
      <c r="E38" t="s">
        <v>98</v>
      </c>
    </row>
    <row r="39" spans="1:5">
      <c r="A39" t="s">
        <v>105</v>
      </c>
      <c r="B39" s="2">
        <v>26995.0884</v>
      </c>
      <c r="C39" s="2">
        <v>17503.013</v>
      </c>
      <c r="D39" s="2">
        <v>9492.075400000002</v>
      </c>
      <c r="E39" t="s">
        <v>98</v>
      </c>
    </row>
    <row r="40" spans="1:5">
      <c r="A40" t="s">
        <v>106</v>
      </c>
      <c r="B40" s="2">
        <v>23973.8567</v>
      </c>
      <c r="C40" s="2">
        <v>15784.3089</v>
      </c>
      <c r="D40" s="2">
        <v>8189.5478</v>
      </c>
      <c r="E40" t="s">
        <v>98</v>
      </c>
    </row>
    <row r="41" spans="1:5">
      <c r="A41" t="s">
        <v>107</v>
      </c>
      <c r="B41" s="2">
        <v>29402.274</v>
      </c>
      <c r="C41" s="2">
        <v>21757.6876</v>
      </c>
      <c r="D41" s="2">
        <v>7644.5864</v>
      </c>
      <c r="E41" t="s">
        <v>98</v>
      </c>
    </row>
    <row r="42" spans="1:5">
      <c r="A42" t="s">
        <v>108</v>
      </c>
      <c r="B42" s="2">
        <v>303775.2115</v>
      </c>
      <c r="C42" s="2">
        <v>325835.51</v>
      </c>
      <c r="D42" s="2">
        <v>-22060.29849999998</v>
      </c>
      <c r="E42" t="s">
        <v>109</v>
      </c>
    </row>
    <row r="43" spans="1:5">
      <c r="A43" t="s">
        <v>110</v>
      </c>
      <c r="B43" s="2">
        <v>294272.4607</v>
      </c>
      <c r="C43" s="2">
        <v>316092.92</v>
      </c>
      <c r="D43" s="2">
        <v>-21820.45929999999</v>
      </c>
      <c r="E43" t="s">
        <v>109</v>
      </c>
    </row>
    <row r="44" spans="1:5">
      <c r="A44" t="s">
        <v>111</v>
      </c>
      <c r="B44" s="2">
        <v>315914.7846</v>
      </c>
      <c r="C44" s="2">
        <v>331954.0896</v>
      </c>
      <c r="D44" s="2">
        <v>-16039.30499999999</v>
      </c>
      <c r="E44" t="s">
        <v>109</v>
      </c>
    </row>
    <row r="45" spans="1:5">
      <c r="A45" t="s">
        <v>112</v>
      </c>
      <c r="B45" s="2">
        <v>222833.52</v>
      </c>
      <c r="C45" s="2">
        <v>236352.0808</v>
      </c>
      <c r="D45" s="2">
        <v>-13518.56080000001</v>
      </c>
      <c r="E45" t="s">
        <v>109</v>
      </c>
    </row>
    <row r="46" spans="1:5">
      <c r="A46" t="s">
        <v>113</v>
      </c>
      <c r="B46" s="2">
        <v>199377.36</v>
      </c>
      <c r="C46" s="2">
        <v>211472.9144</v>
      </c>
      <c r="D46" s="2">
        <v>-12095.55439999999</v>
      </c>
      <c r="E46" t="s">
        <v>109</v>
      </c>
    </row>
    <row r="47" spans="1:5">
      <c r="A47" t="s">
        <v>114</v>
      </c>
      <c r="B47" s="2">
        <v>280968.3713</v>
      </c>
      <c r="C47" s="2">
        <v>291941.7663</v>
      </c>
      <c r="D47" s="2">
        <v>-10973.39500000002</v>
      </c>
      <c r="E47" t="s">
        <v>109</v>
      </c>
    </row>
    <row r="48" spans="1:5">
      <c r="A48" t="s">
        <v>115</v>
      </c>
      <c r="B48" s="2">
        <v>250929.0893</v>
      </c>
      <c r="C48" s="2">
        <v>260821.0704</v>
      </c>
      <c r="D48" s="2">
        <v>-9891.981100000005</v>
      </c>
      <c r="E48" t="s">
        <v>109</v>
      </c>
    </row>
    <row r="49" spans="1:5">
      <c r="A49" t="s">
        <v>116</v>
      </c>
      <c r="B49" s="2">
        <v>159212.664</v>
      </c>
      <c r="C49" s="2">
        <v>168871.56</v>
      </c>
      <c r="D49" s="2">
        <v>-9658.895999999979</v>
      </c>
      <c r="E49" t="s">
        <v>109</v>
      </c>
    </row>
    <row r="50" spans="1:5">
      <c r="A50" t="s">
        <v>117</v>
      </c>
      <c r="B50" s="2">
        <v>243175.14</v>
      </c>
      <c r="C50" s="2">
        <v>251929.443</v>
      </c>
      <c r="D50" s="2">
        <v>-8754.302999999985</v>
      </c>
      <c r="E50" t="s">
        <v>109</v>
      </c>
    </row>
    <row r="51" spans="1:5">
      <c r="A51" t="s">
        <v>118</v>
      </c>
      <c r="B51" s="2">
        <v>117280.8</v>
      </c>
      <c r="C51" s="2">
        <v>124395.832</v>
      </c>
      <c r="D51" s="2">
        <v>-7115.031999999992</v>
      </c>
      <c r="E51" t="s">
        <v>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8.7109375" customWidth="1"/>
  </cols>
  <sheetData>
    <row r="1" spans="1:3">
      <c r="A1" s="4" t="s">
        <v>119</v>
      </c>
      <c r="B1" s="4" t="s">
        <v>120</v>
      </c>
      <c r="C1" s="4" t="s">
        <v>121</v>
      </c>
    </row>
    <row r="2" spans="1:3">
      <c r="A2" t="s">
        <v>122</v>
      </c>
      <c r="B2">
        <v>60855</v>
      </c>
      <c r="C2" s="2">
        <v>80450596.98230001</v>
      </c>
    </row>
    <row r="3" spans="1:3">
      <c r="A3" t="s">
        <v>123</v>
      </c>
      <c r="B3">
        <v>6050</v>
      </c>
      <c r="C3" s="2">
        <v>7644679.6351</v>
      </c>
    </row>
    <row r="4" spans="1:3">
      <c r="A4" t="s">
        <v>124</v>
      </c>
      <c r="B4">
        <v>54805</v>
      </c>
      <c r="C4" s="2">
        <v>72805917.34720001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FormatPr defaultRowHeight="15"/>
  <cols>
    <col min="1" max="1" width="90.7109375" customWidth="1"/>
  </cols>
  <sheetData>
    <row r="1" spans="1:1">
      <c r="A1" s="4" t="s">
        <v>125</v>
      </c>
    </row>
    <row r="3" spans="1:1">
      <c r="A3" t="s">
        <v>126</v>
      </c>
    </row>
    <row r="4" spans="1:1">
      <c r="A4" t="s">
        <v>127</v>
      </c>
    </row>
    <row r="5" spans="1:1">
      <c r="A5" t="s">
        <v>128</v>
      </c>
    </row>
    <row r="6" spans="1:1">
      <c r="A6" t="s">
        <v>129</v>
      </c>
    </row>
    <row r="7" spans="1:1">
      <c r="A7" t="s">
        <v>130</v>
      </c>
    </row>
    <row r="8" spans="1:1">
      <c r="A8" t="s">
        <v>131</v>
      </c>
    </row>
    <row r="9" spans="1:1">
      <c r="A9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Quota Performance</vt:lpstr>
      <vt:lpstr>Product Margin</vt:lpstr>
      <vt:lpstr>Reconciliation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2026-10-11T16:00:17Z</dcterms:created>
  <dcterms:modified xsi:type="dcterms:W3CDTF">2026-10-11T16:00:17Z</dcterms:modified>
</cp:coreProperties>
</file>